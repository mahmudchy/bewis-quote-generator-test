
<file path=[Content_Types].xml><?xml version="1.0" encoding="utf-8"?>
<Types xmlns="http://schemas.openxmlformats.org/package/2006/content-types"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0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<sst xmlns="http://schemas.openxmlformats.org/spreadsheetml/2006/main" count="51" uniqueCount="47">
  <si>
    <t>Wuxi Bewis Sensing Technology LLC</t>
  </si>
  <si>
    <r>
      <t xml:space="preserve">            </t>
    </r>
    <r>
      <rPr>
        <b/>
        <sz val="20"/>
        <color indexed="30"/>
        <rFont val="微软雅黑"/>
        <family val="2"/>
        <charset val="0"/>
      </rPr>
      <t xml:space="preserve"> Quote</t>
    </r>
  </si>
  <si>
    <t>Date:</t>
  </si>
  <si>
    <t>June,27th.2025</t>
  </si>
  <si>
    <t>Valid Until:</t>
  </si>
  <si>
    <t>July,27th.2025</t>
  </si>
  <si>
    <t>Quote Number:</t>
  </si>
  <si>
    <t>Bewis-MC-0627-AU</t>
  </si>
  <si>
    <t>Customer ID</t>
  </si>
  <si>
    <t>N/A</t>
  </si>
  <si>
    <t>Customer:</t>
  </si>
  <si>
    <t>Quote/Project Description</t>
  </si>
  <si>
    <t>Name:</t>
  </si>
  <si>
    <t xml:space="preserve">
</t>
  </si>
  <si>
    <t>Customer Contact:</t>
  </si>
  <si>
    <t>Address:</t>
  </si>
  <si>
    <t>Phone Number:</t>
  </si>
  <si>
    <t>Email:</t>
  </si>
  <si>
    <t>Description</t>
  </si>
  <si>
    <t>Bewis No</t>
  </si>
  <si>
    <t>Qty(Set)</t>
  </si>
  <si>
    <r>
      <t>Unit Price/</t>
    </r>
    <r>
      <rPr>
        <b/>
        <sz val="10"/>
        <color indexed="10"/>
        <rFont val="Sitka Display"/>
        <charset val="0"/>
      </rPr>
      <t>USD</t>
    </r>
    <r>
      <rPr>
        <b/>
        <sz val="10"/>
        <color theme="0"/>
        <rFont val="Sitka Display"/>
        <charset val="0"/>
      </rPr>
      <t xml:space="preserve">
(FOB )</t>
    </r>
  </si>
  <si>
    <t>Line Total</t>
  </si>
  <si>
    <t>Picture</t>
  </si>
  <si>
    <t>Remark</t>
  </si>
  <si>
    <t>Inclinometer</t>
  </si>
  <si>
    <t>BWS5000</t>
  </si>
  <si>
    <t xml:space="preserve">Dual Axis
Measuring  range ±15°
Accuracy 0.001°
Output :RS232，RS485，TTL optional
</t>
  </si>
  <si>
    <t>BWS2000</t>
  </si>
  <si>
    <t>Dual axis
Measuring  range ±30°
Accuracy: 0.001°
Power supply voltage: 9-36V
Output: RS232，RS485，TTL optional</t>
  </si>
  <si>
    <t>Wireless Inclinometer</t>
  </si>
  <si>
    <t>LWHD-WM400</t>
  </si>
  <si>
    <t>Dual axis
Measuring  range ±90°
Accuracy: 0.01°
Power supply voltage: 9-36V
Output: RS232，RS485，TTL optional</t>
  </si>
  <si>
    <t>Remarks</t>
  </si>
  <si>
    <t>Subtotal</t>
  </si>
  <si>
    <r>
      <t>1. Payment Terms-- 
                     T/T 100% advanced by BEWIS official on-line shop （priority）(≤$5000)
                      Bewis Business Bank Account or L/C Irrevocable at sight（＞$5000）                              
2. Lead Time--  for</t>
    </r>
    <r>
      <rPr>
        <sz val="10"/>
        <color rgb="FFFF0000"/>
        <rFont val="等线"/>
        <charset val="0"/>
      </rPr>
      <t xml:space="preserve"> sample</t>
    </r>
    <r>
      <rPr>
        <sz val="10"/>
        <rFont val="等线"/>
        <charset val="0"/>
      </rPr>
      <t xml:space="preserve"> -5-7 working days after the payment
3. Quotation Validity-- 1 Month
4. Package-- Bewis Carton package or your customized package（please inform Bewis in advance）
5. MOQ-- 1 set
6. Warranty -- 12months </t>
    </r>
  </si>
  <si>
    <t>Discount</t>
  </si>
  <si>
    <t>Freight</t>
  </si>
  <si>
    <t>Insurance</t>
  </si>
  <si>
    <t>Total</t>
  </si>
  <si>
    <t>Thank you for your business!</t>
  </si>
  <si>
    <t>Should you have any enquiries concerning this quote,please contact</t>
  </si>
  <si>
    <t>M A Mahmud Chowdhury</t>
  </si>
  <si>
    <t>Account Manager</t>
  </si>
  <si>
    <t>mahmud@bwsensing.com</t>
  </si>
  <si>
    <t>Tel: (0086) 510 83737178*801</t>
  </si>
  <si>
    <t>Cel: (0086) 15618476753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</si>
</sst>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$#,##0.00;[Red]\-\$#,##0.00"/>
    <numFmt numFmtId="177" formatCode="0.00_ "/>
  </numFmts>
  <fonts count="43">
    <font>
      <sz val="12"/>
      <name val="宋体"/>
      <charset val="0"/>
    </font>
    <font>
      <b/>
      <sz val="18"/>
      <name val="Calisto MT"/>
      <family val="1"/>
      <charset val="0"/>
    </font>
    <font>
      <b/>
      <sz val="20"/>
      <color theme="4" tint="-0.249977111117893"/>
      <name val="Calisto MT"/>
      <family val="1"/>
      <charset val="0"/>
    </font>
    <font>
      <sz val="12"/>
      <name val="Sitka Display"/>
      <charset val="0"/>
    </font>
    <font>
      <sz val="12"/>
      <name val="等线"/>
      <charset val="0"/>
    </font>
    <font>
      <sz val="12"/>
      <color rgb="FF333333"/>
      <name val="Sitka Display"/>
      <charset val="0"/>
    </font>
    <font>
      <b/>
      <sz val="14"/>
      <color theme="0"/>
      <name val="Calisto MT"/>
      <family val="1"/>
      <charset val="0"/>
    </font>
    <font>
      <sz val="12"/>
      <color theme="1"/>
      <name val="Sitka Display"/>
      <charset val="0"/>
    </font>
    <font>
      <sz val="10"/>
      <name val="等线"/>
      <charset val="0"/>
    </font>
    <font>
      <sz val="10"/>
      <color rgb="FFFF0000"/>
      <name val="等线"/>
      <charset val="0"/>
    </font>
    <font>
      <sz val="11"/>
      <color theme="1"/>
      <name val="Microsoft Tai Le"/>
      <family val="2"/>
      <charset val="0"/>
    </font>
    <font>
      <b/>
      <sz val="10"/>
      <color theme="0"/>
      <name val="Sitka Display"/>
      <charset val="0"/>
    </font>
    <font>
      <b/>
      <sz val="16"/>
      <name val="等线"/>
      <charset val="0"/>
    </font>
    <font>
      <b/>
      <sz val="11"/>
      <name val="等线"/>
      <charset val="0"/>
    </font>
    <font>
      <b/>
      <sz val="10"/>
      <name val="等线"/>
      <charset val="0"/>
    </font>
    <font>
      <b/>
      <sz val="14"/>
      <color theme="0"/>
      <name val="Sitka Display"/>
      <charset val="0"/>
    </font>
    <font>
      <b/>
      <sz val="14"/>
      <name val="Sitka Display"/>
      <charset val="0"/>
    </font>
    <font>
      <sz val="14"/>
      <name val="Sitka Display"/>
      <charset val="0"/>
    </font>
    <font>
      <b/>
      <sz val="12"/>
      <color rgb="FFFF0000"/>
      <name val="Sitka Display"/>
      <charset val="0"/>
    </font>
    <font>
      <sz val="11"/>
      <name val="Sitka Display"/>
      <charset val="0"/>
    </font>
    <font>
      <u/>
      <sz val="11"/>
      <color rgb="FF0000FF"/>
      <name val="Calibri"/>
      <family val="2"/>
      <charset val="0"/>
      <scheme val="minor"/>
    </font>
    <font>
      <sz val="10"/>
      <name val="Calisto MT"/>
      <family val="1"/>
      <charset val="0"/>
    </font>
    <font>
      <u/>
      <sz val="11"/>
      <color rgb="FF800080"/>
      <name val="Calibri"/>
      <family val="2"/>
      <charset val="0"/>
      <scheme val="minor"/>
    </font>
    <font>
      <sz val="11"/>
      <color indexed="8"/>
      <name val="Calibri"/>
      <family val="2"/>
      <charset val="0"/>
      <scheme val="minor"/>
    </font>
    <font>
      <sz val="11"/>
      <color rgb="FFFF0000"/>
      <name val="Calibri"/>
      <family val="2"/>
      <charset val="0"/>
      <scheme val="minor"/>
    </font>
    <font>
      <b/>
      <sz val="18"/>
      <color theme="3"/>
      <name val="Calibri"/>
      <family val="2"/>
      <charset val="0"/>
      <scheme val="minor"/>
    </font>
    <font>
      <i/>
      <sz val="11"/>
      <color rgb="FF7F7F7F"/>
      <name val="Calibri"/>
      <family val="2"/>
      <charset val="0"/>
      <scheme val="minor"/>
    </font>
    <font>
      <b/>
      <sz val="15"/>
      <color theme="3"/>
      <name val="Calibri"/>
      <family val="2"/>
      <charset val="0"/>
      <scheme val="minor"/>
    </font>
    <font>
      <b/>
      <sz val="13"/>
      <color theme="3"/>
      <name val="Calibri"/>
      <family val="2"/>
      <charset val="0"/>
      <scheme val="minor"/>
    </font>
    <font>
      <b/>
      <sz val="11"/>
      <color theme="3"/>
      <name val="Calibri"/>
      <family val="2"/>
      <charset val="0"/>
      <scheme val="minor"/>
    </font>
    <font>
      <sz val="11"/>
      <color rgb="FF3F3F76"/>
      <name val="Calibri"/>
      <family val="2"/>
      <charset val="0"/>
      <scheme val="minor"/>
    </font>
    <font>
      <b/>
      <sz val="11"/>
      <color rgb="FF3F3F3F"/>
      <name val="Calibri"/>
      <family val="2"/>
      <charset val="0"/>
      <scheme val="minor"/>
    </font>
    <font>
      <b/>
      <sz val="11"/>
      <color rgb="FFFA7D00"/>
      <name val="Calibri"/>
      <family val="2"/>
      <charset val="0"/>
      <scheme val="minor"/>
    </font>
    <font>
      <b/>
      <sz val="11"/>
      <color rgb="FFFFFFFF"/>
      <name val="Calibri"/>
      <family val="2"/>
      <charset val="0"/>
      <scheme val="minor"/>
    </font>
    <font>
      <sz val="11"/>
      <color rgb="FFFA7D00"/>
      <name val="Calibri"/>
      <family val="2"/>
      <charset val="0"/>
      <scheme val="minor"/>
    </font>
    <font>
      <b/>
      <sz val="11"/>
      <color theme="1"/>
      <name val="Calibri"/>
      <family val="2"/>
      <charset val="0"/>
      <scheme val="minor"/>
    </font>
    <font>
      <sz val="11"/>
      <color rgb="FF006100"/>
      <name val="Calibri"/>
      <family val="2"/>
      <charset val="0"/>
      <scheme val="minor"/>
    </font>
    <font>
      <sz val="11"/>
      <color rgb="FF9C0006"/>
      <name val="Calibri"/>
      <family val="2"/>
      <charset val="0"/>
      <scheme val="minor"/>
    </font>
    <font>
      <sz val="11"/>
      <color rgb="FF9C6500"/>
      <name val="Calibri"/>
      <family val="2"/>
      <charset val="0"/>
      <scheme val="minor"/>
    </font>
    <font>
      <sz val="11"/>
      <color theme="0"/>
      <name val="Calibri"/>
      <family val="2"/>
      <charset val="0"/>
      <scheme val="minor"/>
    </font>
    <font>
      <sz val="11"/>
      <color theme="1"/>
      <name val="Calibri"/>
      <family val="2"/>
      <charset val="0"/>
      <scheme val="minor"/>
    </font>
    <font>
      <b/>
      <sz val="10"/>
      <color indexed="10"/>
      <name val="Sitka Display"/>
      <charset val="0"/>
    </font>
    <font>
      <b/>
      <sz val="20"/>
      <color indexed="30"/>
      <name val="微软雅黑"/>
      <family val="2"/>
      <charset val="0"/>
    </font>
  </fonts>
  <fills count="3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5" borderId="21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22" applyNumberFormat="0" applyFill="0" applyAlignment="0" applyProtection="0">
      <alignment vertical="center"/>
    </xf>
    <xf numFmtId="0" fontId="28" fillId="0" borderId="22" applyNumberFormat="0" applyFill="0" applyAlignment="0" applyProtection="0">
      <alignment vertical="center"/>
    </xf>
    <xf numFmtId="0" fontId="29" fillId="0" borderId="23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6" borderId="24" applyNumberFormat="0" applyAlignment="0" applyProtection="0">
      <alignment vertical="center"/>
    </xf>
    <xf numFmtId="0" fontId="31" fillId="7" borderId="25" applyNumberFormat="0" applyAlignment="0" applyProtection="0">
      <alignment vertical="center"/>
    </xf>
    <xf numFmtId="0" fontId="32" fillId="7" borderId="24" applyNumberFormat="0" applyAlignment="0" applyProtection="0">
      <alignment vertical="center"/>
    </xf>
    <xf numFmtId="0" fontId="33" fillId="8" borderId="26" applyNumberFormat="0" applyAlignment="0" applyProtection="0">
      <alignment vertical="center"/>
    </xf>
    <xf numFmtId="0" fontId="34" fillId="0" borderId="27" applyNumberFormat="0" applyFill="0" applyAlignment="0" applyProtection="0">
      <alignment vertical="center"/>
    </xf>
    <xf numFmtId="0" fontId="35" fillId="0" borderId="28" applyNumberFormat="0" applyFill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7" fillId="10" borderId="0" applyNumberFormat="0" applyBorder="0" applyAlignment="0" applyProtection="0">
      <alignment vertical="center"/>
    </xf>
    <xf numFmtId="0" fontId="38" fillId="11" borderId="0" applyNumberFormat="0" applyBorder="0" applyAlignment="0" applyProtection="0">
      <alignment vertical="center"/>
    </xf>
    <xf numFmtId="0" fontId="39" fillId="12" borderId="0" applyNumberFormat="0" applyBorder="0" applyAlignment="0" applyProtection="0">
      <alignment vertical="center"/>
    </xf>
    <xf numFmtId="0" fontId="40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39" fillId="4" borderId="0" applyNumberFormat="0" applyBorder="0" applyAlignment="0" applyProtection="0">
      <alignment vertical="center"/>
    </xf>
  </cellStyleXfs>
  <cellXfs count="100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2" xfId="0" applyBorder="1">
      <alignment vertical="center"/>
    </xf>
    <xf numFmtId="0" fontId="2" fillId="0" borderId="3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top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4" fillId="0" borderId="6" xfId="0" applyFont="1" applyBorder="1">
      <alignment vertical="center"/>
    </xf>
    <xf numFmtId="0" fontId="5" fillId="0" borderId="0" xfId="0" applyFont="1" applyAlignment="1">
      <alignment horizontal="right" vertical="center"/>
    </xf>
    <xf numFmtId="0" fontId="4" fillId="0" borderId="6" xfId="0" applyFont="1" applyFill="1" applyBorder="1">
      <alignment vertical="center"/>
    </xf>
    <xf numFmtId="0" fontId="4" fillId="0" borderId="6" xfId="0" applyFont="1" applyBorder="1">
      <alignment vertical="center"/>
    </xf>
    <xf numFmtId="0" fontId="0" fillId="0" borderId="5" xfId="0" applyBorder="1">
      <alignment vertical="center"/>
    </xf>
    <xf numFmtId="0" fontId="6" fillId="2" borderId="4" xfId="0" applyFont="1" applyFill="1" applyBorder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6" fillId="3" borderId="0" xfId="0" applyFont="1" applyFill="1" applyAlignment="1">
      <alignment horizontal="center" vertical="center"/>
    </xf>
    <xf numFmtId="0" fontId="6" fillId="2" borderId="5" xfId="0" applyFont="1" applyFill="1" applyBorder="1" applyAlignment="1">
      <alignment horizontal="left" vertical="center"/>
    </xf>
    <xf numFmtId="0" fontId="7" fillId="0" borderId="7" xfId="0" applyFont="1" applyFill="1" applyBorder="1" applyAlignment="1">
      <alignment horizontal="left" vertical="center"/>
    </xf>
    <xf numFmtId="0" fontId="8" fillId="0" borderId="7" xfId="0" applyFont="1" applyBorder="1" applyAlignment="1">
      <alignment vertical="center" wrapText="1"/>
    </xf>
    <xf numFmtId="0" fontId="8" fillId="0" borderId="8" xfId="0" applyFont="1" applyBorder="1">
      <alignment vertical="center"/>
    </xf>
    <xf numFmtId="0" fontId="9" fillId="0" borderId="1" xfId="0" applyFont="1" applyBorder="1" applyAlignment="1">
      <alignment vertical="center" wrapText="1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6" xfId="0" applyFont="1" applyFill="1" applyBorder="1" applyAlignment="1">
      <alignment horizontal="left" vertical="center"/>
    </xf>
    <xf numFmtId="0" fontId="8" fillId="0" borderId="6" xfId="0" applyFont="1" applyBorder="1" applyAlignment="1">
      <alignment vertical="center" wrapText="1"/>
    </xf>
    <xf numFmtId="0" fontId="8" fillId="0" borderId="9" xfId="0" applyFont="1" applyBorder="1">
      <alignment vertical="center"/>
    </xf>
    <xf numFmtId="0" fontId="8" fillId="0" borderId="4" xfId="0" applyFont="1" applyBorder="1">
      <alignment vertical="center"/>
    </xf>
    <xf numFmtId="0" fontId="8" fillId="0" borderId="0" xfId="0" applyFont="1">
      <alignment vertical="center"/>
    </xf>
    <xf numFmtId="0" fontId="8" fillId="0" borderId="5" xfId="0" applyFont="1" applyBorder="1">
      <alignment vertical="center"/>
    </xf>
    <xf numFmtId="0" fontId="4" fillId="0" borderId="9" xfId="0" applyFont="1" applyBorder="1">
      <alignment vertical="center"/>
    </xf>
    <xf numFmtId="0" fontId="8" fillId="0" borderId="10" xfId="0" applyFont="1" applyBorder="1">
      <alignment vertical="center"/>
    </xf>
    <xf numFmtId="0" fontId="8" fillId="0" borderId="11" xfId="0" applyFont="1" applyBorder="1">
      <alignment vertical="center"/>
    </xf>
    <xf numFmtId="0" fontId="8" fillId="0" borderId="12" xfId="0" applyFont="1" applyBorder="1">
      <alignment vertical="center"/>
    </xf>
    <xf numFmtId="0" fontId="10" fillId="0" borderId="4" xfId="0" applyFont="1" applyFill="1" applyBorder="1" applyAlignment="1">
      <alignment vertical="center"/>
    </xf>
    <xf numFmtId="0" fontId="10" fillId="0" borderId="0" xfId="0" applyFont="1" applyFill="1" applyBorder="1" applyAlignment="1">
      <alignment vertical="center"/>
    </xf>
    <xf numFmtId="0" fontId="11" fillId="2" borderId="0" xfId="0" applyFont="1" applyFill="1" applyAlignment="1">
      <alignment horizontal="center" vertical="center" wrapText="1"/>
    </xf>
    <xf numFmtId="0" fontId="11" fillId="2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76" fontId="14" fillId="0" borderId="14" xfId="0" applyNumberFormat="1" applyFont="1" applyBorder="1" applyAlignment="1">
      <alignment horizontal="center" vertical="center"/>
    </xf>
    <xf numFmtId="176" fontId="8" fillId="0" borderId="14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 wrapText="1"/>
    </xf>
    <xf numFmtId="177" fontId="0" fillId="0" borderId="0" xfId="0" applyNumberForma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0" fontId="0" fillId="0" borderId="4" xfId="0" applyBorder="1">
      <alignment vertical="center"/>
    </xf>
    <xf numFmtId="0" fontId="15" fillId="2" borderId="4" xfId="0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left" vertical="center" wrapText="1"/>
    </xf>
    <xf numFmtId="0" fontId="8" fillId="0" borderId="0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/>
    </xf>
    <xf numFmtId="0" fontId="19" fillId="4" borderId="6" xfId="0" applyFont="1" applyFill="1" applyBorder="1" applyAlignment="1">
      <alignment vertical="center"/>
    </xf>
    <xf numFmtId="0" fontId="19" fillId="4" borderId="6" xfId="0" applyFont="1" applyFill="1" applyBorder="1" applyAlignment="1">
      <alignment horizontal="center" vertical="center"/>
    </xf>
    <xf numFmtId="0" fontId="20" fillId="4" borderId="1" xfId="6" applyFill="1" applyBorder="1" applyAlignment="1">
      <alignment horizontal="center" vertical="center"/>
    </xf>
    <xf numFmtId="0" fontId="19" fillId="4" borderId="2" xfId="0" applyFont="1" applyFill="1" applyBorder="1" applyAlignment="1">
      <alignment horizontal="center" vertical="center"/>
    </xf>
    <xf numFmtId="0" fontId="19" fillId="4" borderId="3" xfId="0" applyFont="1" applyFill="1" applyBorder="1" applyAlignment="1">
      <alignment horizontal="center" vertical="center"/>
    </xf>
    <xf numFmtId="0" fontId="21" fillId="4" borderId="18" xfId="0" applyFont="1" applyFill="1" applyBorder="1" applyAlignment="1">
      <alignment horizontal="center" vertical="center"/>
    </xf>
    <xf numFmtId="0" fontId="21" fillId="4" borderId="19" xfId="0" applyFont="1" applyFill="1" applyBorder="1" applyAlignment="1">
      <alignment horizontal="center" vertical="center"/>
    </xf>
    <xf numFmtId="0" fontId="21" fillId="4" borderId="20" xfId="0" applyFont="1" applyFill="1" applyBorder="1" applyAlignment="1">
      <alignment horizontal="center" vertical="center"/>
    </xf>
    <xf numFmtId="0" fontId="19" fillId="4" borderId="10" xfId="0" applyFont="1" applyFill="1" applyBorder="1" applyAlignment="1">
      <alignment horizontal="center" vertical="center"/>
    </xf>
    <xf numFmtId="0" fontId="19" fillId="4" borderId="11" xfId="0" applyFont="1" applyFill="1" applyBorder="1" applyAlignment="1">
      <alignment horizontal="center" vertical="center"/>
    </xf>
    <xf numFmtId="0" fontId="19" fillId="4" borderId="12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066CC"/>
      <color rgb="000000FF"/>
      <color rgb="00333333"/>
      <color rgb="00FF0000"/>
      <color rgb="002F75B5"/>
      <color rgb="00A9D08E"/>
      <color rgb="00FFFFFF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109855</xdr:colOff>
      <xdr:row>3</xdr:row>
      <xdr:rowOff>131445</xdr:rowOff>
    </xdr:from>
    <xdr:to>
      <xdr:col>2</xdr:col>
      <xdr:colOff>418465</xdr:colOff>
      <xdr:row>6</xdr:row>
      <xdr:rowOff>90170</xdr:rowOff>
    </xdr:to>
    <xdr:pic>
      <xdr:nvPicPr>
        <xdr:cNvPr id="1269" name="图片 1" descr="公司英文版图标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9855" y="741045"/>
          <a:ext cx="2644140" cy="7016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7</xdr:col>
      <xdr:colOff>107315</xdr:colOff>
      <xdr:row>16</xdr:row>
      <xdr:rowOff>213360</xdr:rowOff>
    </xdr:from>
    <xdr:to>
      <xdr:col>7</xdr:col>
      <xdr:colOff>1202690</xdr:colOff>
      <xdr:row>18</xdr:row>
      <xdr:rowOff>11430</xdr:rowOff>
    </xdr:to>
    <xdr:pic>
      <xdr:nvPicPr>
        <xdr:cNvPr id="1270" name="图片 1" descr="BWS5000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753985" y="4588510"/>
          <a:ext cx="1095375" cy="9664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7</xdr:col>
      <xdr:colOff>130175</xdr:colOff>
      <xdr:row>22</xdr:row>
      <xdr:rowOff>373380</xdr:rowOff>
    </xdr:from>
    <xdr:to>
      <xdr:col>7</xdr:col>
      <xdr:colOff>1240155</xdr:colOff>
      <xdr:row>23</xdr:row>
      <xdr:rowOff>630555</xdr:rowOff>
    </xdr:to>
    <xdr:pic>
      <xdr:nvPicPr>
        <xdr:cNvPr id="1271" name="图片 2" descr="BWM42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7776845" y="8812530"/>
          <a:ext cx="1109980" cy="9810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7</xdr:col>
      <xdr:colOff>60960</xdr:colOff>
      <xdr:row>19</xdr:row>
      <xdr:rowOff>429895</xdr:rowOff>
    </xdr:from>
    <xdr:to>
      <xdr:col>7</xdr:col>
      <xdr:colOff>1218565</xdr:colOff>
      <xdr:row>21</xdr:row>
      <xdr:rowOff>5715</xdr:rowOff>
    </xdr:to>
    <xdr:pic>
      <xdr:nvPicPr>
        <xdr:cNvPr id="1272" name="图片 3" descr="BWS5000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7707630" y="6697345"/>
          <a:ext cx="1157605" cy="10236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hmud@bwsensing.com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L39"/>
  <sheetViews>
    <sheetView tabSelected="1" zoomScale="85" zoomScaleNormal="85" workbookViewId="0">
      <selection activeCell="M12" sqref="M12"/>
    </sheetView>
  </sheetViews>
  <sheetFormatPr defaultColWidth="9" defaultRowHeight="14.25"/>
  <cols>
    <col min="1" max="1" width="19.9" customWidth="1"/>
    <col min="2" max="2" width="10.75" customWidth="1"/>
    <col min="3" max="3" width="16.5" customWidth="1"/>
    <col min="4" max="4" width="13.625" customWidth="1"/>
    <col min="5" max="5" width="12.575" customWidth="1"/>
    <col min="6" max="7" width="13.5" customWidth="1"/>
    <col min="8" max="8" width="17.125" customWidth="1"/>
    <col min="9" max="9" width="24.375" customWidth="1"/>
    <col min="12" max="12" width="12.625"/>
  </cols>
  <sheetData>
    <row r="1" ht="6" customHeight="1"/>
    <row r="2" ht="29" customHeight="1" spans="1:12">
      <c r="A2" s="1" t="s">
        <v>0</v>
      </c>
      <c r="B2" s="2"/>
      <c r="C2" s="2"/>
      <c r="D2" s="2"/>
      <c r="E2" s="3"/>
      <c r="F2" s="3"/>
      <c r="G2" s="3"/>
      <c r="H2" s="3"/>
      <c r="I2" s="4" t="s">
        <v>1</v>
      </c>
    </row>
    <row r="3" ht="13" customHeight="1" spans="1:12">
      <c r="A3" s="5"/>
      <c r="B3" s="6"/>
      <c r="C3" s="6"/>
      <c r="D3" s="6"/>
      <c r="I3" s="7"/>
    </row>
    <row r="4" ht="19.5" spans="1:12">
      <c r="A4" s="8"/>
      <c r="B4" s="9"/>
      <c r="C4" s="9"/>
      <c r="D4" s="9"/>
      <c r="G4" s="10" t="s">
        <v>2</v>
      </c>
      <c r="H4" s="10"/>
      <c r="I4" s="11" t="s">
        <v>3</v>
      </c>
    </row>
    <row r="5" ht="19.5" spans="1:12">
      <c r="A5" s="8"/>
      <c r="B5" s="9"/>
      <c r="C5" s="9"/>
      <c r="D5" s="9"/>
      <c r="G5" s="10" t="s">
        <v>4</v>
      </c>
      <c r="H5" s="10"/>
      <c r="I5" s="11" t="s">
        <v>5</v>
      </c>
    </row>
    <row r="6" ht="19.5" spans="1:12">
      <c r="A6" s="8"/>
      <c r="B6" s="9"/>
      <c r="C6" s="9"/>
      <c r="D6" s="9"/>
      <c r="G6" s="12" t="s">
        <v>6</v>
      </c>
      <c r="H6" s="12"/>
      <c r="I6" s="13" t="s">
        <v>7</v>
      </c>
    </row>
    <row r="7" ht="19.5" spans="1:12">
      <c r="A7" s="8"/>
      <c r="B7" s="9"/>
      <c r="C7" s="9"/>
      <c r="D7" s="9"/>
      <c r="G7" s="12" t="s">
        <v>8</v>
      </c>
      <c r="H7" s="12"/>
      <c r="I7" s="14" t="s">
        <v>9</v>
      </c>
    </row>
    <row r="8" ht="8" customHeight="1" spans="1:12">
      <c r="A8" s="8"/>
      <c r="B8" s="9"/>
      <c r="C8" s="9"/>
      <c r="D8" s="9"/>
      <c r="I8" s="15"/>
    </row>
    <row r="9" ht="20" customHeight="1" spans="1:12">
      <c r="A9" s="16" t="s">
        <v>10</v>
      </c>
      <c r="B9" s="17"/>
      <c r="C9" s="17"/>
      <c r="D9" s="18"/>
      <c r="E9" s="17" t="s">
        <v>11</v>
      </c>
      <c r="F9" s="17"/>
      <c r="G9" s="17"/>
      <c r="H9" s="17"/>
      <c r="I9" s="19"/>
    </row>
    <row r="10" ht="44" customHeight="1" spans="1:12">
      <c r="A10" s="20" t="s">
        <v>12</v>
      </c>
      <c r="B10" s="21"/>
      <c r="C10" s="22"/>
      <c r="E10" s="23" t="s">
        <v>13</v>
      </c>
      <c r="F10" s="24"/>
      <c r="G10" s="24"/>
      <c r="H10" s="24"/>
      <c r="I10" s="25"/>
    </row>
    <row r="11" ht="19.5" spans="1:12">
      <c r="A11" s="26" t="s">
        <v>14</v>
      </c>
      <c r="B11" s="27"/>
      <c r="C11" s="28"/>
      <c r="E11" s="29"/>
      <c r="F11" s="30"/>
      <c r="G11" s="30"/>
      <c r="H11" s="30"/>
      <c r="I11" s="31"/>
    </row>
    <row r="12" ht="48" customHeight="1" spans="1:12">
      <c r="A12" s="26" t="s">
        <v>15</v>
      </c>
      <c r="B12" s="27"/>
      <c r="C12" s="28"/>
      <c r="E12" s="29"/>
      <c r="F12" s="30"/>
      <c r="G12" s="30"/>
      <c r="H12" s="30"/>
      <c r="I12" s="31"/>
    </row>
    <row r="13" ht="19.5" spans="1:12">
      <c r="A13" s="26" t="s">
        <v>16</v>
      </c>
      <c r="B13" s="27"/>
      <c r="C13" s="28"/>
      <c r="E13" s="29"/>
      <c r="F13" s="30"/>
      <c r="G13" s="30"/>
      <c r="H13" s="30"/>
      <c r="I13" s="31"/>
    </row>
    <row r="14" ht="19.5" spans="1:12">
      <c r="A14" s="26" t="s">
        <v>17</v>
      </c>
      <c r="B14" s="14"/>
      <c r="C14" s="32"/>
      <c r="E14" s="33"/>
      <c r="F14" s="34"/>
      <c r="G14" s="34"/>
      <c r="H14" s="34"/>
      <c r="I14" s="35"/>
    </row>
    <row r="15" ht="10" customHeight="1" spans="1:12">
      <c r="A15" s="36"/>
      <c r="B15" s="37"/>
      <c r="I15" s="15"/>
    </row>
    <row r="16" ht="30" customHeight="1" spans="1:12">
      <c r="A16" s="38" t="s">
        <v>18</v>
      </c>
      <c r="B16" s="38"/>
      <c r="C16" s="38"/>
      <c r="D16" s="39" t="s">
        <v>19</v>
      </c>
      <c r="E16" s="39" t="s">
        <v>20</v>
      </c>
      <c r="F16" s="39" t="s">
        <v>21</v>
      </c>
      <c r="G16" s="39" t="s">
        <v>22</v>
      </c>
      <c r="H16" s="39" t="s">
        <v>23</v>
      </c>
      <c r="I16" s="39" t="s">
        <v>24</v>
      </c>
      <c r="K16" s="40"/>
      <c r="L16" s="40">
        <v>6.8</v>
      </c>
    </row>
    <row r="17" ht="35" customHeight="1" spans="1:12">
      <c r="A17" s="41" t="s">
        <v>25</v>
      </c>
      <c r="B17" s="41"/>
      <c r="C17" s="41"/>
      <c r="D17" s="42" t="s">
        <v>26</v>
      </c>
      <c r="E17" s="43">
        <v>1</v>
      </c>
      <c r="F17" s="44">
        <v>500</v>
      </c>
      <c r="G17" s="45">
        <f t="shared" ref="G17:G19" si="0">E17*F17</f>
        <v>500</v>
      </c>
      <c r="H17" s="46"/>
      <c r="I17" s="47" t="s">
        <v>27</v>
      </c>
      <c r="K17" s="40">
        <v>350</v>
      </c>
      <c r="L17" s="48">
        <f t="shared" ref="L17:L25" si="1">K17/$L$16</f>
        <v>51.4705882352941</v>
      </c>
    </row>
    <row r="18" ht="57" customHeight="1" spans="1:12">
      <c r="A18" s="49"/>
      <c r="B18" s="49"/>
      <c r="C18" s="49"/>
      <c r="D18" s="50"/>
      <c r="E18" s="43">
        <v>10</v>
      </c>
      <c r="F18" s="44">
        <v>600</v>
      </c>
      <c r="G18" s="45">
        <f t="shared" si="0"/>
        <v>6000</v>
      </c>
      <c r="H18" s="51"/>
      <c r="I18" s="52"/>
      <c r="K18" s="40">
        <v>300</v>
      </c>
      <c r="L18" s="48">
        <f t="shared" si="1"/>
        <v>44.1176470588235</v>
      </c>
    </row>
    <row r="19" ht="57" customHeight="1" spans="1:12">
      <c r="A19" s="49"/>
      <c r="B19" s="49"/>
      <c r="C19" s="49"/>
      <c r="D19" s="53"/>
      <c r="E19" s="43">
        <v>30</v>
      </c>
      <c r="F19" s="44">
        <v>700</v>
      </c>
      <c r="G19" s="45">
        <f t="shared" si="0"/>
        <v>21000</v>
      </c>
      <c r="H19" s="54"/>
      <c r="I19" s="52"/>
      <c r="K19" s="40">
        <v>200</v>
      </c>
      <c r="L19" s="48">
        <f t="shared" si="1"/>
        <v>29.4117647058824</v>
      </c>
    </row>
    <row r="20" ht="57" customHeight="1" spans="1:12">
      <c r="A20" s="49"/>
      <c r="B20" s="49"/>
      <c r="C20" s="49"/>
      <c r="D20" s="50" t="s">
        <v>28</v>
      </c>
      <c r="E20" s="43">
        <v>1</v>
      </c>
      <c r="F20" s="44">
        <v>800</v>
      </c>
      <c r="G20" s="45">
        <f t="shared" ref="G20:G25" si="2">E20*F20</f>
        <v>800</v>
      </c>
      <c r="H20" s="51"/>
      <c r="I20" s="55" t="s">
        <v>29</v>
      </c>
      <c r="K20" s="40">
        <v>950</v>
      </c>
      <c r="L20" s="48">
        <f t="shared" si="1"/>
        <v>139.705882352941</v>
      </c>
    </row>
    <row r="21" ht="57" customHeight="1" spans="1:12">
      <c r="A21" s="49"/>
      <c r="B21" s="49"/>
      <c r="C21" s="49"/>
      <c r="D21" s="50"/>
      <c r="E21" s="43">
        <v>10</v>
      </c>
      <c r="F21" s="44">
        <v>900</v>
      </c>
      <c r="G21" s="45">
        <f t="shared" si="2"/>
        <v>9000</v>
      </c>
      <c r="H21" s="51"/>
      <c r="I21" s="56"/>
      <c r="K21" s="40">
        <v>800</v>
      </c>
      <c r="L21" s="48">
        <f t="shared" si="1"/>
        <v>117.647058823529</v>
      </c>
    </row>
    <row r="22" ht="57" customHeight="1" spans="1:12">
      <c r="A22" s="49"/>
      <c r="B22" s="49"/>
      <c r="C22" s="49"/>
      <c r="D22" s="53"/>
      <c r="E22" s="43">
        <v>30</v>
      </c>
      <c r="F22" s="44">
        <v>1100</v>
      </c>
      <c r="G22" s="45">
        <f t="shared" si="2"/>
        <v>33000</v>
      </c>
      <c r="H22" s="54"/>
      <c r="I22" s="57"/>
      <c r="K22" s="40">
        <v>650</v>
      </c>
      <c r="L22" s="48">
        <f t="shared" si="1"/>
        <v>95.5882352941177</v>
      </c>
    </row>
    <row r="23" ht="57" customHeight="1" spans="1:12">
      <c r="A23" s="49" t="s">
        <v>30</v>
      </c>
      <c r="B23" s="49"/>
      <c r="C23" s="49"/>
      <c r="D23" s="50" t="s">
        <v>31</v>
      </c>
      <c r="E23" s="43">
        <v>1</v>
      </c>
      <c r="F23" s="44">
        <v>1300</v>
      </c>
      <c r="G23" s="45">
        <f t="shared" si="2"/>
        <v>1300</v>
      </c>
      <c r="H23" s="51"/>
      <c r="I23" s="55" t="s">
        <v>32</v>
      </c>
      <c r="K23" s="40">
        <v>950</v>
      </c>
      <c r="L23" s="48">
        <f t="shared" si="1"/>
        <v>139.705882352941</v>
      </c>
    </row>
    <row r="24" ht="57" customHeight="1" spans="1:12">
      <c r="A24" s="49"/>
      <c r="B24" s="49"/>
      <c r="C24" s="49"/>
      <c r="D24" s="50"/>
      <c r="E24" s="43">
        <v>10</v>
      </c>
      <c r="F24" s="44">
        <v>1610</v>
      </c>
      <c r="G24" s="45">
        <f t="shared" si="2"/>
        <v>16100</v>
      </c>
      <c r="H24" s="51"/>
      <c r="I24" s="56"/>
      <c r="K24" s="40">
        <v>800</v>
      </c>
      <c r="L24" s="48">
        <f t="shared" si="1"/>
        <v>117.647058823529</v>
      </c>
    </row>
    <row r="25" ht="57" customHeight="1" spans="1:12">
      <c r="A25" s="58"/>
      <c r="B25" s="58"/>
      <c r="C25" s="58"/>
      <c r="D25" s="53"/>
      <c r="E25" s="43">
        <v>100</v>
      </c>
      <c r="F25" s="44">
        <v>1300</v>
      </c>
      <c r="G25" s="45">
        <f t="shared" si="2"/>
        <v>130000</v>
      </c>
      <c r="H25" s="54"/>
      <c r="I25" s="57"/>
      <c r="K25" s="40">
        <v>650</v>
      </c>
      <c r="L25" s="48">
        <f t="shared" si="1"/>
        <v>95.5882352941177</v>
      </c>
    </row>
    <row r="26" spans="1:12">
      <c r="A26" s="59"/>
      <c r="I26" s="15"/>
    </row>
    <row r="27" ht="24" spans="1:12">
      <c r="A27" s="60" t="s">
        <v>33</v>
      </c>
      <c r="B27" s="61"/>
      <c r="C27" s="61"/>
      <c r="D27" s="61"/>
      <c r="E27" s="61"/>
      <c r="F27" s="62" t="s">
        <v>34</v>
      </c>
      <c r="G27" s="63" t="s">
        <v>9</v>
      </c>
      <c r="H27" s="64"/>
      <c r="I27" s="65"/>
    </row>
    <row r="28" ht="13" customHeight="1" spans="1:12">
      <c r="A28" s="66" t="s">
        <v>35</v>
      </c>
      <c r="B28" s="67"/>
      <c r="C28" s="67"/>
      <c r="D28" s="67"/>
      <c r="E28" s="68"/>
      <c r="F28" s="69" t="s">
        <v>36</v>
      </c>
      <c r="G28" s="70" t="s">
        <v>9</v>
      </c>
      <c r="H28" s="71"/>
      <c r="I28" s="72"/>
    </row>
    <row r="29" ht="13" customHeight="1" spans="1:12">
      <c r="A29" s="73"/>
      <c r="B29" s="74"/>
      <c r="C29" s="74"/>
      <c r="D29" s="74"/>
      <c r="E29" s="75"/>
      <c r="F29" s="69"/>
      <c r="G29" s="76"/>
      <c r="H29" s="77"/>
      <c r="I29" s="78"/>
    </row>
    <row r="30" ht="13" customHeight="1" spans="1:12">
      <c r="A30" s="73"/>
      <c r="B30" s="74"/>
      <c r="C30" s="74"/>
      <c r="D30" s="74"/>
      <c r="E30" s="75"/>
      <c r="F30" s="79" t="s">
        <v>37</v>
      </c>
      <c r="G30" s="70"/>
      <c r="H30" s="71"/>
      <c r="I30" s="72"/>
    </row>
    <row r="31" ht="13" customHeight="1" spans="1:12">
      <c r="A31" s="73"/>
      <c r="B31" s="74"/>
      <c r="C31" s="74"/>
      <c r="D31" s="74"/>
      <c r="E31" s="75"/>
      <c r="F31" s="80"/>
      <c r="G31" s="76"/>
      <c r="H31" s="77"/>
      <c r="I31" s="78"/>
    </row>
    <row r="32" ht="13" customHeight="1" spans="1:12">
      <c r="A32" s="73"/>
      <c r="B32" s="74"/>
      <c r="C32" s="74"/>
      <c r="D32" s="74"/>
      <c r="E32" s="75"/>
      <c r="F32" s="79" t="s">
        <v>38</v>
      </c>
      <c r="G32" s="70" t="s">
        <v>9</v>
      </c>
      <c r="H32" s="71"/>
      <c r="I32" s="72"/>
    </row>
    <row r="33" ht="13" customHeight="1" spans="1:9">
      <c r="A33" s="73"/>
      <c r="B33" s="74"/>
      <c r="C33" s="74"/>
      <c r="D33" s="74"/>
      <c r="E33" s="75"/>
      <c r="F33" s="80"/>
      <c r="G33" s="76"/>
      <c r="H33" s="77"/>
      <c r="I33" s="78"/>
    </row>
    <row r="34" ht="13" customHeight="1" spans="1:9">
      <c r="A34" s="73"/>
      <c r="B34" s="74"/>
      <c r="C34" s="74"/>
      <c r="D34" s="74"/>
      <c r="E34" s="75"/>
      <c r="F34" s="79" t="s">
        <v>39</v>
      </c>
      <c r="G34" s="70" t="s">
        <v>9</v>
      </c>
      <c r="H34" s="71"/>
      <c r="I34" s="72"/>
    </row>
    <row r="35" ht="16" customHeight="1" spans="1:9">
      <c r="A35" s="73"/>
      <c r="B35" s="74"/>
      <c r="C35" s="74"/>
      <c r="D35" s="74"/>
      <c r="E35" s="75"/>
      <c r="F35" s="81"/>
      <c r="G35" s="76"/>
      <c r="H35" s="77"/>
      <c r="I35" s="78"/>
    </row>
    <row r="36" ht="124" customHeight="1" spans="1:9">
      <c r="A36" s="82"/>
      <c r="B36" s="83"/>
      <c r="C36" s="83"/>
      <c r="D36" s="83"/>
      <c r="E36" s="84"/>
      <c r="F36" s="85" t="s">
        <v>40</v>
      </c>
      <c r="G36" s="85"/>
      <c r="H36" s="85"/>
      <c r="I36" s="86"/>
    </row>
    <row r="37" ht="19.5" spans="1:9">
      <c r="A37" s="87" t="s">
        <v>41</v>
      </c>
      <c r="B37" s="88"/>
      <c r="C37" s="88"/>
      <c r="D37" s="88"/>
      <c r="E37" s="88"/>
      <c r="F37" s="88"/>
      <c r="G37" s="88"/>
      <c r="H37" s="88"/>
      <c r="I37" s="88"/>
    </row>
    <row r="38" spans="1:9">
      <c r="A38" s="89" t="s">
        <v>42</v>
      </c>
      <c r="B38" s="90" t="s">
        <v>43</v>
      </c>
      <c r="C38" s="90"/>
      <c r="D38" s="91" t="s">
        <v>44</v>
      </c>
      <c r="E38" s="92"/>
      <c r="F38" s="93"/>
      <c r="G38" s="94" t="s">
        <v>45</v>
      </c>
      <c r="H38" s="95"/>
      <c r="I38" s="96"/>
    </row>
    <row r="39" ht="11" customHeight="1" spans="1:9">
      <c r="A39" s="89"/>
      <c r="B39" s="90"/>
      <c r="C39" s="90"/>
      <c r="D39" s="97"/>
      <c r="E39" s="98"/>
      <c r="F39" s="99"/>
      <c r="G39" s="94" t="s">
        <v>46</v>
      </c>
      <c r="H39" s="95"/>
      <c r="I39" s="96"/>
    </row>
  </sheetData>
  <mergeCells count="39">
    <mergeCell ref="A9:C9"/>
    <mergeCell ref="E9:I9"/>
    <mergeCell ref="B10:C10"/>
    <mergeCell ref="B11:C11"/>
    <mergeCell ref="B12:C12"/>
    <mergeCell ref="B13:C13"/>
    <mergeCell ref="A16:C16"/>
    <mergeCell ref="A27:E27"/>
    <mergeCell ref="G27:I27"/>
    <mergeCell ref="F36:I36"/>
    <mergeCell ref="A37:I37"/>
    <mergeCell ref="G38:I38"/>
    <mergeCell ref="G39:I39"/>
    <mergeCell ref="A38:A39"/>
    <mergeCell ref="D17:D19"/>
    <mergeCell ref="D20:D22"/>
    <mergeCell ref="D23:D25"/>
    <mergeCell ref="F28:F29"/>
    <mergeCell ref="F30:F31"/>
    <mergeCell ref="F32:F33"/>
    <mergeCell ref="F34:F35"/>
    <mergeCell ref="H17:H19"/>
    <mergeCell ref="H20:H22"/>
    <mergeCell ref="H23:H25"/>
    <mergeCell ref="I17:I19"/>
    <mergeCell ref="I20:I22"/>
    <mergeCell ref="I23:I25"/>
    <mergeCell ref="A4:D8"/>
    <mergeCell ref="A2:D3"/>
    <mergeCell ref="E10:I14"/>
    <mergeCell ref="G28:I29"/>
    <mergeCell ref="G30:I31"/>
    <mergeCell ref="G32:I33"/>
    <mergeCell ref="G34:I35"/>
    <mergeCell ref="D38:F39"/>
    <mergeCell ref="B38:C39"/>
    <mergeCell ref="A28:E36"/>
    <mergeCell ref="A17:C22"/>
    <mergeCell ref="A23:C25"/>
  </mergeCells>
  <hyperlinks>
    <hyperlink ref="D38" r:id="rId2" display="mahmud@bwsensing.com"/>
  </hyperlinks>
  <pageMargins left="0.75" right="0.432638888888889" top="0.944444444444444" bottom="1" header="0.511805555555556" footer="0.511805555555556"/>
  <pageSetup paperSize="9" scale="59" orientation="portrait"/>
  <headerFooter alignWithMargins="0" scaleWithDoc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11805555555556" footer="0.511805555555556"/>
  <pageSetup paperSize="9" orientation="portrait"/>
  <headerFooter alignWithMargins="0" scaleWithDoc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11805555555556" footer="0.511805555555556"/>
  <pageSetup paperSize="9" orientation="portrait"/>
  <headerFooter alignWithMargins="0"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Office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Mahmud chowdhury</cp:lastModifiedBy>
  <dcterms:created xsi:type="dcterms:W3CDTF">2019-08-19T05:14:30Z</dcterms:created>
  <dcterms:modified xsi:type="dcterms:W3CDTF">2026-05-14T03:03:19Z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1033-12.1.0.25862</vt:lpwstr>
  </property>
  <property fmtid="{D5CDD505-2E9C-101B-9397-08002B2CF9AE}" pid="3" name="ICV">
    <vt:lpwstr>7180AF4E4CCD48609227C605C7534F5E_13</vt:lpwstr>
  </property>
  <property fmtid="{D5CDD505-2E9C-101B-9397-08002B2CF9AE}" pid="4" name="CalculationRule">
    <vt:i4>0</vt:i4>
  </property>
</Properties>
</file>